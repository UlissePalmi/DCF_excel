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ide\Documents\Projects\DCF_excel\"/>
    </mc:Choice>
  </mc:AlternateContent>
  <xr:revisionPtr revIDLastSave="0" documentId="13_ncr:1_{8F7ACEA6-676B-4E70-9885-221B48349BB7}" xr6:coauthVersionLast="47" xr6:coauthVersionMax="47" xr10:uidLastSave="{00000000-0000-0000-0000-000000000000}"/>
  <bookViews>
    <workbookView xWindow="-108" yWindow="-108" windowWidth="23256" windowHeight="12456" activeTab="4" xr2:uid="{02220230-4CB7-4189-91BE-D1C8B03A2EAC}"/>
  </bookViews>
  <sheets>
    <sheet name="price_oil" sheetId="1" r:id="rId1"/>
    <sheet name="volume_oil" sheetId="2" r:id="rId2"/>
    <sheet name="price_ng" sheetId="3" r:id="rId3"/>
    <sheet name="volume_ng" sheetId="4" r:id="rId4"/>
    <sheet name="price_ngl" sheetId="5" r:id="rId5"/>
    <sheet name="volume_ngl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" i="1" l="1"/>
  <c r="D1" i="1" s="1"/>
  <c r="E1" i="1" s="1"/>
  <c r="F1" i="1" s="1"/>
  <c r="G1" i="1" s="1"/>
  <c r="C1" i="2"/>
  <c r="D1" i="2" s="1"/>
  <c r="E1" i="2" s="1"/>
  <c r="F1" i="2" s="1"/>
  <c r="G1" i="2" s="1"/>
  <c r="C1" i="3"/>
  <c r="D1" i="3" s="1"/>
  <c r="E1" i="3" s="1"/>
  <c r="F1" i="3" s="1"/>
  <c r="G1" i="3" s="1"/>
  <c r="C1" i="6"/>
  <c r="D1" i="6" s="1"/>
  <c r="E1" i="6" s="1"/>
  <c r="F1" i="6" s="1"/>
  <c r="G1" i="6" s="1"/>
  <c r="C1" i="5"/>
  <c r="D1" i="5" s="1"/>
  <c r="E1" i="5" s="1"/>
  <c r="F1" i="5" s="1"/>
  <c r="G1" i="5" s="1"/>
  <c r="C1" i="4"/>
  <c r="D1" i="4" s="1"/>
  <c r="E1" i="4" s="1"/>
  <c r="F1" i="4" s="1"/>
  <c r="G1" i="4" s="1"/>
</calcChain>
</file>

<file path=xl/sharedStrings.xml><?xml version="1.0" encoding="utf-8"?>
<sst xmlns="http://schemas.openxmlformats.org/spreadsheetml/2006/main" count="24" uniqueCount="6">
  <si>
    <t>Oklahoma</t>
  </si>
  <si>
    <t>Bairoil</t>
  </si>
  <si>
    <t>Beta</t>
  </si>
  <si>
    <t>East Texas/ North Louisiana</t>
  </si>
  <si>
    <t>Eagle Ford</t>
  </si>
  <si>
    <t>Bairoil (Rockies)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</si>
</sst>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#,##0_);\(#,##0\);\-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6" fontId="3" fillId="0" borderId="0" xfId="1" applyNumberFormat="1" applyFont="1" applyFill="1" applyBorder="1" applyProtection="1">
      <protection locked="0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0C32-A8F2-4395-B3DC-AD4BC2B2BC32}">
  <dimension ref="A1:G6"/>
  <sheetViews>
    <sheetView workbookViewId="0">
      <selection activeCell="B2" sqref="B2:G6"/>
    </sheetView>
  </sheetViews>
  <sheetFormatPr defaultRowHeight="14.4" x14ac:dyDescent="0.3"/>
  <sheetData>
    <row r="1" spans="1:7" x14ac:dyDescent="0.3">
      <c r="B1">
        <v>2019</v>
      </c>
      <c r="C1">
        <f>B1+1</f>
        <v>2020</v>
      </c>
      <c r="D1">
        <f t="shared" ref="D1:G1" si="0">C1+1</f>
        <v>2021</v>
      </c>
      <c r="E1">
        <f t="shared" si="0"/>
        <v>2022</v>
      </c>
      <c r="F1">
        <f t="shared" si="0"/>
        <v>2023</v>
      </c>
      <c r="G1">
        <f t="shared" si="0"/>
        <v>2024</v>
      </c>
    </row>
    <row r="2" spans="1:7" x14ac:dyDescent="0.3">
      <c r="A2" t="s">
        <v>0</v>
      </c>
      <c r="B2" s="3">
        <v>54.81</v>
      </c>
      <c r="C2" s="3">
        <v>36.840000000000003</v>
      </c>
      <c r="D2" s="3">
        <v>66.63</v>
      </c>
      <c r="E2" s="3">
        <v>95.1</v>
      </c>
      <c r="F2" s="3">
        <v>76.14</v>
      </c>
      <c r="G2" s="3">
        <v>75.05</v>
      </c>
    </row>
    <row r="3" spans="1:7" x14ac:dyDescent="0.3">
      <c r="A3" t="s">
        <v>1</v>
      </c>
      <c r="B3" s="3">
        <v>50.72</v>
      </c>
      <c r="C3" s="3">
        <v>34.549999999999997</v>
      </c>
      <c r="D3" s="3">
        <v>62.2</v>
      </c>
      <c r="E3" s="3">
        <v>88.52</v>
      </c>
      <c r="F3" s="3">
        <v>72.150000000000006</v>
      </c>
      <c r="G3" s="3">
        <v>70.010000000000005</v>
      </c>
    </row>
    <row r="4" spans="1:7" x14ac:dyDescent="0.3">
      <c r="A4" t="s">
        <v>2</v>
      </c>
      <c r="B4" s="3">
        <v>58.38</v>
      </c>
      <c r="C4" s="3">
        <v>36.1</v>
      </c>
      <c r="D4" s="3">
        <v>61.77</v>
      </c>
      <c r="E4" s="3">
        <v>77.55</v>
      </c>
      <c r="F4" s="3">
        <v>75.31</v>
      </c>
      <c r="G4" s="3">
        <v>72.510000000000005</v>
      </c>
    </row>
    <row r="5" spans="1:7" x14ac:dyDescent="0.3">
      <c r="A5" t="s">
        <v>3</v>
      </c>
      <c r="B5" s="3">
        <v>55.77</v>
      </c>
      <c r="C5" s="3">
        <v>35.369999999999997</v>
      </c>
      <c r="D5" s="3">
        <v>64.88</v>
      </c>
      <c r="E5" s="3">
        <v>93.55</v>
      </c>
      <c r="F5" s="3">
        <v>75.05</v>
      </c>
      <c r="G5" s="3">
        <v>73.38</v>
      </c>
    </row>
    <row r="6" spans="1:7" x14ac:dyDescent="0.3">
      <c r="A6" t="s">
        <v>4</v>
      </c>
      <c r="B6" s="3">
        <v>61.44</v>
      </c>
      <c r="C6" s="3">
        <v>35.75</v>
      </c>
      <c r="D6" s="3">
        <v>67.25</v>
      </c>
      <c r="E6" s="3">
        <v>96.87</v>
      </c>
      <c r="F6" s="3">
        <v>76.23</v>
      </c>
      <c r="G6" s="3">
        <v>74.5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94F8-0D68-4A8B-BEC2-9597E2DE3467}">
  <dimension ref="A1:G6"/>
  <sheetViews>
    <sheetView workbookViewId="0">
      <selection activeCell="B2" sqref="B2:G6"/>
    </sheetView>
  </sheetViews>
  <sheetFormatPr defaultRowHeight="14.4" x14ac:dyDescent="0.3"/>
  <sheetData>
    <row r="1" spans="1:7" x14ac:dyDescent="0.3">
      <c r="B1">
        <v>2019</v>
      </c>
      <c r="C1">
        <f>B1+1</f>
        <v>2020</v>
      </c>
      <c r="D1">
        <f t="shared" ref="D1:G1" si="0">C1+1</f>
        <v>2021</v>
      </c>
      <c r="E1">
        <f t="shared" si="0"/>
        <v>2022</v>
      </c>
      <c r="F1">
        <f t="shared" si="0"/>
        <v>2023</v>
      </c>
      <c r="G1">
        <f t="shared" si="0"/>
        <v>2024</v>
      </c>
    </row>
    <row r="2" spans="1:7" x14ac:dyDescent="0.3">
      <c r="A2" t="s">
        <v>0</v>
      </c>
      <c r="B2" s="3">
        <v>372</v>
      </c>
      <c r="C2" s="3">
        <v>687</v>
      </c>
      <c r="D2" s="3">
        <v>517</v>
      </c>
      <c r="E2" s="3">
        <v>488</v>
      </c>
      <c r="F2" s="3">
        <v>426</v>
      </c>
      <c r="G2" s="3">
        <v>347</v>
      </c>
    </row>
    <row r="3" spans="1:7" x14ac:dyDescent="0.3">
      <c r="A3" t="s">
        <v>1</v>
      </c>
      <c r="B3" s="3">
        <v>1381</v>
      </c>
      <c r="C3" s="3">
        <v>1493</v>
      </c>
      <c r="D3" s="3">
        <v>1336</v>
      </c>
      <c r="E3" s="3">
        <v>1325</v>
      </c>
      <c r="F3" s="3">
        <v>1199</v>
      </c>
      <c r="G3" s="3">
        <v>1181</v>
      </c>
    </row>
    <row r="4" spans="1:7" x14ac:dyDescent="0.3">
      <c r="A4" t="s">
        <v>2</v>
      </c>
      <c r="B4" s="3">
        <v>1132</v>
      </c>
      <c r="C4" s="3">
        <v>1255</v>
      </c>
      <c r="D4" s="3">
        <v>996</v>
      </c>
      <c r="E4" s="3">
        <v>18</v>
      </c>
      <c r="F4" s="3">
        <v>679</v>
      </c>
      <c r="G4" s="3">
        <v>1170</v>
      </c>
    </row>
    <row r="5" spans="1:7" x14ac:dyDescent="0.3">
      <c r="A5" t="s">
        <v>3</v>
      </c>
      <c r="B5" s="3">
        <v>218</v>
      </c>
      <c r="C5" s="3">
        <v>198</v>
      </c>
      <c r="D5" s="3">
        <v>169</v>
      </c>
      <c r="E5" s="3">
        <v>175</v>
      </c>
      <c r="F5" s="3">
        <v>157</v>
      </c>
      <c r="G5" s="3">
        <v>143</v>
      </c>
    </row>
    <row r="6" spans="1:7" x14ac:dyDescent="0.3">
      <c r="A6" t="s">
        <v>4</v>
      </c>
      <c r="B6" s="3">
        <v>395</v>
      </c>
      <c r="C6" s="3">
        <v>254</v>
      </c>
      <c r="D6" s="3">
        <v>333</v>
      </c>
      <c r="E6" s="3">
        <v>321</v>
      </c>
      <c r="F6" s="3">
        <v>312</v>
      </c>
      <c r="G6" s="3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9AE2-E056-48FE-B0EB-C2DD2CA96795}">
  <dimension ref="A1:G4"/>
  <sheetViews>
    <sheetView workbookViewId="0">
      <selection activeCell="G4" sqref="B2:G4"/>
    </sheetView>
  </sheetViews>
  <sheetFormatPr defaultRowHeight="14.4" x14ac:dyDescent="0.3"/>
  <sheetData>
    <row r="1" spans="1:7" x14ac:dyDescent="0.3">
      <c r="A1" s="1"/>
      <c r="B1" s="1">
        <v>2019</v>
      </c>
      <c r="C1" s="1">
        <f>B1+1</f>
        <v>2020</v>
      </c>
      <c r="D1" s="1">
        <f t="shared" ref="D1:G1" si="0">C1+1</f>
        <v>2021</v>
      </c>
      <c r="E1" s="1">
        <f t="shared" si="0"/>
        <v>2022</v>
      </c>
      <c r="F1" s="1">
        <f t="shared" si="0"/>
        <v>2023</v>
      </c>
      <c r="G1" s="1">
        <f t="shared" si="0"/>
        <v>2024</v>
      </c>
    </row>
    <row r="2" spans="1:7" x14ac:dyDescent="0.3">
      <c r="A2" s="1" t="s">
        <v>0</v>
      </c>
      <c r="B2" s="3">
        <v>0.95</v>
      </c>
      <c r="C2" s="3">
        <v>0.93</v>
      </c>
      <c r="D2" s="3">
        <v>2.98</v>
      </c>
      <c r="E2" s="3">
        <v>7</v>
      </c>
      <c r="F2" s="3">
        <v>2.95</v>
      </c>
      <c r="G2" s="3">
        <v>2.06</v>
      </c>
    </row>
    <row r="3" spans="1:7" x14ac:dyDescent="0.3">
      <c r="A3" s="1" t="s">
        <v>3</v>
      </c>
      <c r="B3" s="3">
        <v>2.52</v>
      </c>
      <c r="C3" s="3">
        <v>1.87</v>
      </c>
      <c r="D3" s="3">
        <v>3.67</v>
      </c>
      <c r="E3" s="3">
        <v>6.16</v>
      </c>
      <c r="F3" s="3">
        <v>2.46</v>
      </c>
      <c r="G3" s="3">
        <v>2.17</v>
      </c>
    </row>
    <row r="4" spans="1:7" x14ac:dyDescent="0.3">
      <c r="A4" s="1" t="s">
        <v>4</v>
      </c>
      <c r="B4" s="3">
        <v>2.81</v>
      </c>
      <c r="C4" s="3">
        <v>2.0099999999999998</v>
      </c>
      <c r="D4" s="3">
        <v>3.9</v>
      </c>
      <c r="E4" s="3">
        <v>6.36</v>
      </c>
      <c r="F4" s="3">
        <v>2.52</v>
      </c>
      <c r="G4" s="3">
        <v>2.0099999999999998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1265A-FFA3-4592-A8CF-F1B3C528B467}">
  <dimension ref="A1:G4"/>
  <sheetViews>
    <sheetView workbookViewId="0">
      <selection activeCell="B2" sqref="B2:G4"/>
    </sheetView>
  </sheetViews>
  <sheetFormatPr defaultRowHeight="14.4" x14ac:dyDescent="0.3"/>
  <sheetData>
    <row r="1" spans="1:7" x14ac:dyDescent="0.3">
      <c r="A1" s="1"/>
      <c r="B1" s="1">
        <v>2019</v>
      </c>
      <c r="C1" s="1">
        <f>B1+1</f>
        <v>2020</v>
      </c>
      <c r="D1" s="1">
        <f t="shared" ref="D1:G1" si="0">C1+1</f>
        <v>2021</v>
      </c>
      <c r="E1" s="1">
        <f t="shared" si="0"/>
        <v>2022</v>
      </c>
      <c r="F1" s="1">
        <f t="shared" si="0"/>
        <v>2023</v>
      </c>
      <c r="G1" s="1">
        <f t="shared" si="0"/>
        <v>2024</v>
      </c>
    </row>
    <row r="2" spans="1:7" x14ac:dyDescent="0.3">
      <c r="A2" s="1" t="s">
        <v>0</v>
      </c>
      <c r="B2" s="3">
        <v>4822</v>
      </c>
      <c r="C2" s="3">
        <v>9395</v>
      </c>
      <c r="D2" s="3">
        <v>7246</v>
      </c>
      <c r="E2" s="3">
        <v>7343</v>
      </c>
      <c r="F2" s="3">
        <v>6706</v>
      </c>
      <c r="G2" s="3">
        <v>5995</v>
      </c>
    </row>
    <row r="3" spans="1:7" x14ac:dyDescent="0.3">
      <c r="A3" s="1" t="s">
        <v>3</v>
      </c>
      <c r="B3" s="3">
        <v>21495</v>
      </c>
      <c r="C3" s="3">
        <v>17905</v>
      </c>
      <c r="D3" s="3">
        <v>16268</v>
      </c>
      <c r="E3" s="3">
        <v>15367</v>
      </c>
      <c r="F3" s="3">
        <v>13359</v>
      </c>
      <c r="G3" s="3">
        <v>10627</v>
      </c>
    </row>
    <row r="4" spans="1:7" x14ac:dyDescent="0.3">
      <c r="A4" s="1" t="s">
        <v>4</v>
      </c>
      <c r="B4" s="3">
        <v>172</v>
      </c>
      <c r="C4" s="3">
        <v>173</v>
      </c>
      <c r="D4" s="3">
        <v>294</v>
      </c>
      <c r="E4" s="3">
        <v>283</v>
      </c>
      <c r="F4" s="3">
        <v>232</v>
      </c>
      <c r="G4" s="3">
        <v>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30CBA-988B-40D3-BF32-9DD99441C50E}">
  <dimension ref="A1:G5"/>
  <sheetViews>
    <sheetView tabSelected="1" workbookViewId="0">
      <selection activeCell="B3" sqref="B3"/>
    </sheetView>
  </sheetViews>
  <sheetFormatPr defaultRowHeight="14.4" x14ac:dyDescent="0.3"/>
  <sheetData>
    <row r="1" spans="1:7" x14ac:dyDescent="0.3">
      <c r="A1" s="1"/>
      <c r="B1" s="1">
        <v>2019</v>
      </c>
      <c r="C1" s="1">
        <f>B1+1</f>
        <v>2020</v>
      </c>
      <c r="D1" s="1">
        <f t="shared" ref="D1:G1" si="0">C1+1</f>
        <v>2021</v>
      </c>
      <c r="E1" s="1">
        <f t="shared" si="0"/>
        <v>2022</v>
      </c>
      <c r="F1" s="1">
        <f t="shared" si="0"/>
        <v>2023</v>
      </c>
      <c r="G1" s="1">
        <f t="shared" si="0"/>
        <v>2024</v>
      </c>
    </row>
    <row r="2" spans="1:7" x14ac:dyDescent="0.3">
      <c r="A2" s="1" t="s">
        <v>0</v>
      </c>
      <c r="B2" s="3">
        <v>14.14</v>
      </c>
      <c r="C2" s="3">
        <v>10.75</v>
      </c>
      <c r="D2" s="3">
        <v>27.68</v>
      </c>
      <c r="E2" s="3">
        <v>31.57</v>
      </c>
      <c r="F2" s="3">
        <v>21.48</v>
      </c>
      <c r="G2" s="3">
        <v>23.07</v>
      </c>
    </row>
    <row r="3" spans="1:7" x14ac:dyDescent="0.3">
      <c r="A3" s="1" t="s">
        <v>5</v>
      </c>
      <c r="B3" s="3">
        <v>38.799999999999997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3">
      <c r="A4" s="1" t="s">
        <v>3</v>
      </c>
      <c r="B4" s="3">
        <v>16.350000000000001</v>
      </c>
      <c r="C4" s="3">
        <v>12.52</v>
      </c>
      <c r="D4" s="3">
        <v>29.41</v>
      </c>
      <c r="E4" s="3">
        <v>36.61</v>
      </c>
      <c r="F4" s="3">
        <v>23.08</v>
      </c>
      <c r="G4" s="3">
        <v>19.48</v>
      </c>
    </row>
    <row r="5" spans="1:7" x14ac:dyDescent="0.3">
      <c r="A5" s="1" t="s">
        <v>4</v>
      </c>
      <c r="B5" s="3">
        <v>14.31</v>
      </c>
      <c r="C5" s="3">
        <v>11.99</v>
      </c>
      <c r="D5" s="3">
        <v>29.11</v>
      </c>
      <c r="E5" s="3">
        <v>33.69</v>
      </c>
      <c r="F5" s="3">
        <v>19.47</v>
      </c>
      <c r="G5" s="3">
        <v>19.79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9BB-8DE5-4B9D-89C9-1A919ADB0BF4}">
  <dimension ref="A1:G5"/>
  <sheetViews>
    <sheetView workbookViewId="0">
      <selection sqref="A1:G5"/>
    </sheetView>
  </sheetViews>
  <sheetFormatPr defaultRowHeight="14.4" x14ac:dyDescent="0.3"/>
  <sheetData>
    <row r="1" spans="1:7" x14ac:dyDescent="0.3">
      <c r="A1" s="1"/>
      <c r="B1" s="1">
        <v>2019</v>
      </c>
      <c r="C1" s="1">
        <f>B1+1</f>
        <v>2020</v>
      </c>
      <c r="D1" s="1">
        <f t="shared" ref="D1:G1" si="0">C1+1</f>
        <v>2021</v>
      </c>
      <c r="E1" s="1">
        <f t="shared" si="0"/>
        <v>2022</v>
      </c>
      <c r="F1" s="1">
        <f t="shared" si="0"/>
        <v>2023</v>
      </c>
      <c r="G1" s="1">
        <f t="shared" si="0"/>
        <v>2024</v>
      </c>
    </row>
    <row r="2" spans="1:7" x14ac:dyDescent="0.3">
      <c r="A2" s="1" t="s">
        <v>0</v>
      </c>
      <c r="B2" s="2">
        <v>439</v>
      </c>
      <c r="C2" s="2">
        <v>857</v>
      </c>
      <c r="D2" s="2">
        <v>659</v>
      </c>
      <c r="E2" s="2">
        <v>660</v>
      </c>
      <c r="F2" s="3">
        <v>602</v>
      </c>
      <c r="G2" s="3">
        <v>525</v>
      </c>
    </row>
    <row r="3" spans="1:7" x14ac:dyDescent="0.3">
      <c r="A3" s="1" t="s">
        <v>5</v>
      </c>
      <c r="B3" s="2">
        <v>63</v>
      </c>
      <c r="C3" s="2">
        <v>0</v>
      </c>
      <c r="D3" s="2">
        <v>0</v>
      </c>
      <c r="E3" s="2">
        <v>0</v>
      </c>
      <c r="F3" s="2">
        <v>0</v>
      </c>
      <c r="G3" s="2">
        <v>0</v>
      </c>
    </row>
    <row r="4" spans="1:7" x14ac:dyDescent="0.3">
      <c r="A4" s="1" t="s">
        <v>3</v>
      </c>
      <c r="B4" s="2">
        <v>812</v>
      </c>
      <c r="C4" s="2">
        <v>836</v>
      </c>
      <c r="D4" s="2">
        <v>719</v>
      </c>
      <c r="E4" s="2">
        <v>680</v>
      </c>
      <c r="F4" s="3">
        <v>681</v>
      </c>
      <c r="G4" s="3">
        <v>717</v>
      </c>
    </row>
    <row r="5" spans="1:7" x14ac:dyDescent="0.3">
      <c r="A5" s="1" t="s">
        <v>4</v>
      </c>
      <c r="B5" s="2">
        <v>29</v>
      </c>
      <c r="C5" s="2">
        <v>32</v>
      </c>
      <c r="D5" s="2">
        <v>52</v>
      </c>
      <c r="E5" s="2">
        <v>49</v>
      </c>
      <c r="F5" s="3">
        <v>40</v>
      </c>
      <c r="G5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price_oil</vt:lpstr>
      <vt:lpstr>volume_oil</vt:lpstr>
      <vt:lpstr>price_ng</vt:lpstr>
      <vt:lpstr>volume_ng</vt:lpstr>
      <vt:lpstr>price_ngl</vt:lpstr>
      <vt:lpstr>volume_ngl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Ulisse Palmiero</dc:creator>
  <cp:lastModifiedBy>Ulisse Palmiero</cp:lastModifiedBy>
  <dcterms:created xsi:type="dcterms:W3CDTF">2025-10-12T04:01:07Z</dcterms:created>
  <dcterms:modified xsi:type="dcterms:W3CDTF">2025-10-12T04:19:01Z</dcterms:modified>
</cp:coreProperties>
</file>